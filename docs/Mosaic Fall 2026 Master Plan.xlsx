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jor Events" sheetId="1" r:id="rId5"/>
    <sheet state="visible" name="Calendar" sheetId="2" r:id="rId6"/>
    <sheet state="visible" name="Core Seminar" sheetId="3" r:id="rId7"/>
    <sheet state="visible" name="Inductive Bible StudyDGroup" sheetId="4" r:id="rId8"/>
    <sheet state="visible" name="Mosaic Youth" sheetId="5" r:id="rId9"/>
    <sheet state="visible" name="Mosaic Kids" sheetId="6" r:id="rId10"/>
    <sheet state="visible" name="Mosaic Christmas Party" sheetId="7" r:id="rId11"/>
  </sheets>
  <definedNames/>
  <calcPr/>
</workbook>
</file>

<file path=xl/sharedStrings.xml><?xml version="1.0" encoding="utf-8"?>
<sst xmlns="http://schemas.openxmlformats.org/spreadsheetml/2006/main" count="198" uniqueCount="146">
  <si>
    <t>Date</t>
  </si>
  <si>
    <t>Core Seminar</t>
  </si>
  <si>
    <t>Spiritual Formation</t>
  </si>
  <si>
    <t>DOW</t>
  </si>
  <si>
    <t>Event</t>
  </si>
  <si>
    <t>Member's Meeting</t>
  </si>
  <si>
    <t>Service Review (Breakfast)</t>
  </si>
  <si>
    <t>DIBS Leader Application Deadline</t>
  </si>
  <si>
    <t>App Grid (Breakfast)</t>
  </si>
  <si>
    <t>Thanksgiving</t>
  </si>
  <si>
    <t>Mosaic Kids: Back to School Splash Bash</t>
  </si>
  <si>
    <t>Launch Team Lunch</t>
  </si>
  <si>
    <t>Move In Day / Service Review (Breakfast)</t>
  </si>
  <si>
    <t>CSISD First Day of School</t>
  </si>
  <si>
    <t>Missions Internship Discussion (Dever, Gilbert)</t>
  </si>
  <si>
    <t>Mosaic Kids and Youth Ministry Training</t>
  </si>
  <si>
    <t>First Day of Class (TAMU/Blinn) / Service Review (Breakfast)</t>
  </si>
  <si>
    <t>DIBS Leader Training</t>
  </si>
  <si>
    <t>Impact Ministry Fair / App Grid (Breakfast)</t>
  </si>
  <si>
    <t>Mission Internship Discussion (Jamieson, Roark &amp; Kline, Stiles)</t>
  </si>
  <si>
    <t>Core Seminar Start / Launch Team Lunch / DIBS Registration Deadline</t>
  </si>
  <si>
    <t>Mission Internship Discussion (Lawrence, Dever, Ortlund)</t>
  </si>
  <si>
    <t>MO State @ TAMU</t>
  </si>
  <si>
    <t>Member's Meeting / Launch Team Lunch</t>
  </si>
  <si>
    <t>Labor Day / No Service Review (Breakfast)</t>
  </si>
  <si>
    <t>DIBS Week 0</t>
  </si>
  <si>
    <t>Major Events</t>
  </si>
  <si>
    <t>Mission Internship Discussion (Helm, Onwuchekwa)</t>
  </si>
  <si>
    <t>Subject</t>
  </si>
  <si>
    <t>Preaching Schedule</t>
  </si>
  <si>
    <t>Arizona State @ TAMU</t>
  </si>
  <si>
    <t>After Galatians, Psalms 25-41</t>
  </si>
  <si>
    <t>First Sunday of Month</t>
  </si>
  <si>
    <t>Mosaic Youth</t>
  </si>
  <si>
    <t>Group Size</t>
  </si>
  <si>
    <t>Mosaic Kids</t>
  </si>
  <si>
    <t>Inductive Bible Study/DGroup</t>
  </si>
  <si>
    <t>James</t>
  </si>
  <si>
    <t>Missions Internship</t>
  </si>
  <si>
    <t>Guys/Girls Only</t>
  </si>
  <si>
    <t>Service Review</t>
  </si>
  <si>
    <t>Leader</t>
  </si>
  <si>
    <t>Breakfast on Monday</t>
  </si>
  <si>
    <t>App Grid</t>
  </si>
  <si>
    <t>Stephen Pursley</t>
  </si>
  <si>
    <t>DIBS Week 1</t>
  </si>
  <si>
    <t>Breakfast on Thursday</t>
  </si>
  <si>
    <t>Elder Meetings</t>
  </si>
  <si>
    <t>Guys DGroup</t>
  </si>
  <si>
    <t>Special Events</t>
  </si>
  <si>
    <t>Colin Beers</t>
  </si>
  <si>
    <t>Discussion</t>
  </si>
  <si>
    <t>Mosaic Christmas Party / Christmas Eve Service (Maybe)</t>
  </si>
  <si>
    <t>Maybe</t>
  </si>
  <si>
    <t>6:30 - 7:30 PM</t>
  </si>
  <si>
    <t>Membership Matters</t>
  </si>
  <si>
    <t>Girls DGroup</t>
  </si>
  <si>
    <t>As Needed</t>
  </si>
  <si>
    <t>DGroup</t>
  </si>
  <si>
    <t>Anna Bolton</t>
  </si>
  <si>
    <t>7:30 - 9:00 PM</t>
  </si>
  <si>
    <t>DIBS Group Leader Follow Up (Dinner) / Mission Internship Discussion (Worship Paper)</t>
  </si>
  <si>
    <t>Mosaic Youth Group</t>
  </si>
  <si>
    <t>Scripture</t>
  </si>
  <si>
    <t>DGroup Leader App Deadline</t>
  </si>
  <si>
    <t>Theme</t>
  </si>
  <si>
    <t>Kentucky @ TAMU</t>
  </si>
  <si>
    <t>DIBS Registration Deadline</t>
  </si>
  <si>
    <t>DGroup Leader Training</t>
  </si>
  <si>
    <t>Christmas Party</t>
  </si>
  <si>
    <t>DGroup Leader Follow Up 1</t>
  </si>
  <si>
    <t>September 18, 2026 (Dinner)</t>
  </si>
  <si>
    <t>DIBS Week 2</t>
  </si>
  <si>
    <t>DGroup Leader Follow Up 2</t>
  </si>
  <si>
    <t>October 18, 2026 (Lunch)</t>
  </si>
  <si>
    <t>DGroup Leader Follow Up 3</t>
  </si>
  <si>
    <t>December 13, 2026 (Lunch)</t>
  </si>
  <si>
    <t>Mission Internship Discussion (No Paper)</t>
  </si>
  <si>
    <t>Scripture Memory</t>
  </si>
  <si>
    <t>Mosaic Kids: Sandlot Kickball</t>
  </si>
  <si>
    <t>Week 0</t>
  </si>
  <si>
    <t>Introduction Week</t>
  </si>
  <si>
    <t>DIBS Week 3</t>
  </si>
  <si>
    <t>Mission Internship Discussion (Philosophy of Ministry)</t>
  </si>
  <si>
    <t>Week 1</t>
  </si>
  <si>
    <t>Week 2</t>
  </si>
  <si>
    <t>Arkansas @ TAMU</t>
  </si>
  <si>
    <t>Week 3</t>
  </si>
  <si>
    <t>Week 4</t>
  </si>
  <si>
    <t>Catch Up Week/Fun Week</t>
  </si>
  <si>
    <t>Week 5</t>
  </si>
  <si>
    <t>DIBS Week 4</t>
  </si>
  <si>
    <t>Week 6</t>
  </si>
  <si>
    <t>Week 7</t>
  </si>
  <si>
    <t>Mission Internship Discussion (No Paper) / App Grid (Breakfast)</t>
  </si>
  <si>
    <t>Week 8</t>
  </si>
  <si>
    <t xml:space="preserve">Week 9 </t>
  </si>
  <si>
    <t>CSISD Fall Break / No Service Review (Breakfast)</t>
  </si>
  <si>
    <t>Back to School Splash Bash</t>
  </si>
  <si>
    <t>Thanksgiving Break</t>
  </si>
  <si>
    <t>Sandlot Kickball</t>
  </si>
  <si>
    <t>Fall Festival</t>
  </si>
  <si>
    <t>Friendsgiving: Football and Flowers</t>
  </si>
  <si>
    <t>Week 10</t>
  </si>
  <si>
    <t>Kirsten</t>
  </si>
  <si>
    <t>Mosaic Christmas Party</t>
  </si>
  <si>
    <t>CSISD Fall Break</t>
  </si>
  <si>
    <t>DIBS Catch Up Week</t>
  </si>
  <si>
    <t>Mission Internship Discussion (Ordinances)</t>
  </si>
  <si>
    <t>Citadel @ TAMU</t>
  </si>
  <si>
    <t>DIBS Leader Follow Up (Lunch)</t>
  </si>
  <si>
    <t>DIBS Week 5</t>
  </si>
  <si>
    <t>Mission Internship Discussion (Membership)</t>
  </si>
  <si>
    <t>Mosaic Kids: Fall Festival</t>
  </si>
  <si>
    <t>DIBS Week 6</t>
  </si>
  <si>
    <t>Mission Internship Discussion (Baptist Ecclesiology)</t>
  </si>
  <si>
    <t>Halloween</t>
  </si>
  <si>
    <t>DIBS Week 7</t>
  </si>
  <si>
    <t>Mission Internship Discussion (Evangelism and Missions)</t>
  </si>
  <si>
    <t>DIBS Week 8</t>
  </si>
  <si>
    <t>Mission Internship Discussion (Mission of the Church)</t>
  </si>
  <si>
    <t>Tenessee @ TAMU</t>
  </si>
  <si>
    <t>DIBS Week 9</t>
  </si>
  <si>
    <t>Mission Internship Discussion (Complementarianism)</t>
  </si>
  <si>
    <t>Mosaic Kids: Friendsgiving</t>
  </si>
  <si>
    <t>CSISD Thanksgiving Break / No Service Review (Breakfast)</t>
  </si>
  <si>
    <t>CSISD Thanksgiving Break</t>
  </si>
  <si>
    <t>Thansgiving Day / No App Grid (Breakfast)</t>
  </si>
  <si>
    <t>CSISD Thanksgiving Break / t.u. @ TAMU / Mission Internship Discussion</t>
  </si>
  <si>
    <t>Thanksgiving Sunday</t>
  </si>
  <si>
    <t>DIBS Week 10</t>
  </si>
  <si>
    <t>Mission Internship Discussion (Church Leadership)</t>
  </si>
  <si>
    <t>Mosaic Kids: Christmas Party</t>
  </si>
  <si>
    <t>TAMU Finals / Service Review (Breakfast)</t>
  </si>
  <si>
    <t>TAMU Finals</t>
  </si>
  <si>
    <t>TAMU Finals / Mosaic Christmas Party</t>
  </si>
  <si>
    <t>TAMU Finals / App Grid (Breakfast)</t>
  </si>
  <si>
    <t>Mission Internship Discussion (Final Ecclesiology)</t>
  </si>
  <si>
    <t>Mosaic Youth Christmas Party</t>
  </si>
  <si>
    <t>DIBS Follow Up 3</t>
  </si>
  <si>
    <t>No App Grid (Breakfast)</t>
  </si>
  <si>
    <t>CAMO CWC Indianapolis</t>
  </si>
  <si>
    <t>CAMO CWC Indianapolis / No Service Review (Breakfast)</t>
  </si>
  <si>
    <t>No App Grid (Breakfast) / Christmas Eve Candlelight Service (Maybe)</t>
  </si>
  <si>
    <t>Christmas Day</t>
  </si>
  <si>
    <t>No Service Review (Breakfast)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</si>
</sst>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&quot;--&quot;dddd"/>
    <numFmt numFmtId="166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Font="1" applyNumberFormat="1"/>
    <xf borderId="0" fillId="0" fontId="1" numFmtId="164" xfId="0" applyAlignment="1" applyFont="1" applyNumberFormat="1">
      <alignment horizontal="left"/>
    </xf>
    <xf borderId="0" fillId="0" fontId="1" numFmtId="164" xfId="0" applyFont="1" applyNumberForma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horizontal="left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10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43.38"/>
  </cols>
  <sheetData>
    <row r="1">
      <c r="A1" s="1" t="s">
        <v>26</v>
      </c>
    </row>
    <row r="2">
      <c r="B2" s="1" t="s">
        <v>28</v>
      </c>
    </row>
    <row r="3">
      <c r="A3" s="1" t="s">
        <v>29</v>
      </c>
      <c r="B3" s="1" t="s">
        <v>31</v>
      </c>
    </row>
    <row r="4">
      <c r="A4" s="1" t="s">
        <v>1</v>
      </c>
      <c r="B4" s="1" t="s">
        <v>2</v>
      </c>
    </row>
    <row r="5">
      <c r="A5" s="1" t="s">
        <v>5</v>
      </c>
      <c r="B5" s="1" t="s">
        <v>32</v>
      </c>
    </row>
    <row r="6">
      <c r="A6" s="1" t="s">
        <v>33</v>
      </c>
    </row>
    <row r="7">
      <c r="A7" s="1" t="s">
        <v>35</v>
      </c>
    </row>
    <row r="8">
      <c r="A8" s="1" t="s">
        <v>36</v>
      </c>
      <c r="B8" s="1" t="s">
        <v>37</v>
      </c>
    </row>
    <row r="9">
      <c r="A9" s="1" t="s">
        <v>38</v>
      </c>
    </row>
    <row r="10">
      <c r="A10" s="1" t="s">
        <v>40</v>
      </c>
      <c r="B10" s="1" t="s">
        <v>42</v>
      </c>
    </row>
    <row r="11">
      <c r="A11" s="1" t="s">
        <v>43</v>
      </c>
      <c r="B11" s="1" t="s">
        <v>46</v>
      </c>
    </row>
    <row r="12">
      <c r="A12" s="1" t="s">
        <v>47</v>
      </c>
    </row>
    <row r="13">
      <c r="A13" s="1" t="s">
        <v>49</v>
      </c>
      <c r="B13" s="1" t="s">
        <v>52</v>
      </c>
    </row>
    <row r="14">
      <c r="A14" s="1" t="s">
        <v>55</v>
      </c>
      <c r="B14" s="1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65.88"/>
  </cols>
  <sheetData>
    <row r="1">
      <c r="A1" s="1" t="s">
        <v>0</v>
      </c>
      <c r="B1" s="1" t="s">
        <v>3</v>
      </c>
      <c r="C1" s="1" t="s">
        <v>4</v>
      </c>
    </row>
    <row r="2">
      <c r="A2" s="2">
        <v>46235.0</v>
      </c>
      <c r="B2" s="4">
        <f t="shared" ref="B2:B155" si="1">A2</f>
        <v>46235</v>
      </c>
    </row>
    <row r="3">
      <c r="A3" s="6">
        <f t="shared" ref="A3:A155" si="2">A2+1</f>
        <v>46236</v>
      </c>
      <c r="B3" s="4">
        <f t="shared" si="1"/>
        <v>46236</v>
      </c>
      <c r="C3" s="7" t="s">
        <v>5</v>
      </c>
    </row>
    <row r="4">
      <c r="A4" s="6">
        <f t="shared" si="2"/>
        <v>46237</v>
      </c>
      <c r="B4" s="4">
        <f t="shared" si="1"/>
        <v>46237</v>
      </c>
      <c r="C4" s="8" t="s">
        <v>6</v>
      </c>
    </row>
    <row r="5">
      <c r="A5" s="6">
        <f t="shared" si="2"/>
        <v>46238</v>
      </c>
      <c r="B5" s="4">
        <f t="shared" si="1"/>
        <v>46238</v>
      </c>
    </row>
    <row r="6">
      <c r="A6" s="6">
        <f t="shared" si="2"/>
        <v>46239</v>
      </c>
      <c r="B6" s="4">
        <f t="shared" si="1"/>
        <v>46239</v>
      </c>
      <c r="C6" s="9" t="s">
        <v>7</v>
      </c>
    </row>
    <row r="7">
      <c r="A7" s="6">
        <f t="shared" si="2"/>
        <v>46240</v>
      </c>
      <c r="B7" s="4">
        <f t="shared" si="1"/>
        <v>46240</v>
      </c>
      <c r="C7" s="10" t="s">
        <v>8</v>
      </c>
    </row>
    <row r="8">
      <c r="A8" s="6">
        <f t="shared" si="2"/>
        <v>46241</v>
      </c>
      <c r="B8" s="4">
        <f t="shared" si="1"/>
        <v>46241</v>
      </c>
    </row>
    <row r="9">
      <c r="A9" s="6">
        <f t="shared" si="2"/>
        <v>46242</v>
      </c>
      <c r="B9" s="4">
        <f t="shared" si="1"/>
        <v>46242</v>
      </c>
    </row>
    <row r="10">
      <c r="A10" s="6">
        <f t="shared" si="2"/>
        <v>46243</v>
      </c>
      <c r="B10" s="4">
        <f t="shared" si="1"/>
        <v>46243</v>
      </c>
    </row>
    <row r="11">
      <c r="A11" s="6">
        <f t="shared" si="2"/>
        <v>46244</v>
      </c>
      <c r="B11" s="4">
        <f t="shared" si="1"/>
        <v>46244</v>
      </c>
      <c r="C11" s="8" t="s">
        <v>6</v>
      </c>
    </row>
    <row r="12">
      <c r="A12" s="6">
        <f t="shared" si="2"/>
        <v>46245</v>
      </c>
      <c r="B12" s="4">
        <f t="shared" si="1"/>
        <v>46245</v>
      </c>
    </row>
    <row r="13">
      <c r="A13" s="6">
        <f t="shared" si="2"/>
        <v>46246</v>
      </c>
      <c r="B13" s="4">
        <f t="shared" si="1"/>
        <v>46246</v>
      </c>
    </row>
    <row r="14">
      <c r="A14" s="6">
        <f t="shared" si="2"/>
        <v>46247</v>
      </c>
      <c r="B14" s="4">
        <f t="shared" si="1"/>
        <v>46247</v>
      </c>
      <c r="C14" s="10" t="s">
        <v>8</v>
      </c>
    </row>
    <row r="15">
      <c r="A15" s="6">
        <f t="shared" si="2"/>
        <v>46248</v>
      </c>
      <c r="B15" s="4">
        <f t="shared" si="1"/>
        <v>46248</v>
      </c>
    </row>
    <row r="16">
      <c r="A16" s="6">
        <f t="shared" si="2"/>
        <v>46249</v>
      </c>
      <c r="B16" s="4">
        <f t="shared" si="1"/>
        <v>46249</v>
      </c>
      <c r="C16" s="12" t="s">
        <v>10</v>
      </c>
    </row>
    <row r="17">
      <c r="A17" s="6">
        <f t="shared" si="2"/>
        <v>46250</v>
      </c>
      <c r="B17" s="4">
        <f t="shared" si="1"/>
        <v>46250</v>
      </c>
      <c r="C17" s="13" t="s">
        <v>11</v>
      </c>
    </row>
    <row r="18">
      <c r="A18" s="6">
        <f t="shared" si="2"/>
        <v>46251</v>
      </c>
      <c r="B18" s="4">
        <f t="shared" si="1"/>
        <v>46251</v>
      </c>
      <c r="C18" s="8" t="s">
        <v>12</v>
      </c>
    </row>
    <row r="19">
      <c r="A19" s="6">
        <f t="shared" si="2"/>
        <v>46252</v>
      </c>
      <c r="B19" s="4">
        <f t="shared" si="1"/>
        <v>46252</v>
      </c>
    </row>
    <row r="20">
      <c r="A20" s="6">
        <f t="shared" si="2"/>
        <v>46253</v>
      </c>
      <c r="B20" s="4">
        <f t="shared" si="1"/>
        <v>46253</v>
      </c>
      <c r="C20" s="1" t="s">
        <v>13</v>
      </c>
    </row>
    <row r="21">
      <c r="A21" s="6">
        <f t="shared" si="2"/>
        <v>46254</v>
      </c>
      <c r="B21" s="4">
        <f t="shared" si="1"/>
        <v>46254</v>
      </c>
      <c r="C21" s="10" t="s">
        <v>8</v>
      </c>
    </row>
    <row r="22">
      <c r="A22" s="6">
        <f t="shared" si="2"/>
        <v>46255</v>
      </c>
      <c r="B22" s="4">
        <f t="shared" si="1"/>
        <v>46255</v>
      </c>
      <c r="C22" s="14" t="s">
        <v>14</v>
      </c>
    </row>
    <row r="23">
      <c r="A23" s="6">
        <f t="shared" si="2"/>
        <v>46256</v>
      </c>
      <c r="B23" s="4">
        <f t="shared" si="1"/>
        <v>46256</v>
      </c>
      <c r="C23" s="1" t="s">
        <v>15</v>
      </c>
    </row>
    <row r="24">
      <c r="A24" s="6">
        <f t="shared" si="2"/>
        <v>46257</v>
      </c>
      <c r="B24" s="4">
        <f t="shared" si="1"/>
        <v>46257</v>
      </c>
    </row>
    <row r="25">
      <c r="A25" s="6">
        <f t="shared" si="2"/>
        <v>46258</v>
      </c>
      <c r="B25" s="4">
        <f t="shared" si="1"/>
        <v>46258</v>
      </c>
      <c r="C25" s="15" t="s">
        <v>16</v>
      </c>
    </row>
    <row r="26">
      <c r="A26" s="6">
        <f t="shared" si="2"/>
        <v>46259</v>
      </c>
      <c r="B26" s="4">
        <f t="shared" si="1"/>
        <v>46259</v>
      </c>
    </row>
    <row r="27">
      <c r="A27" s="6">
        <f t="shared" si="2"/>
        <v>46260</v>
      </c>
      <c r="B27" s="4">
        <f t="shared" si="1"/>
        <v>46260</v>
      </c>
      <c r="C27" s="9" t="s">
        <v>17</v>
      </c>
    </row>
    <row r="28">
      <c r="A28" s="6">
        <f t="shared" si="2"/>
        <v>46261</v>
      </c>
      <c r="B28" s="4">
        <f t="shared" si="1"/>
        <v>46261</v>
      </c>
      <c r="C28" s="15" t="s">
        <v>18</v>
      </c>
    </row>
    <row r="29">
      <c r="A29" s="6">
        <f t="shared" si="2"/>
        <v>46262</v>
      </c>
      <c r="B29" s="4">
        <f t="shared" si="1"/>
        <v>46262</v>
      </c>
      <c r="C29" s="14" t="s">
        <v>19</v>
      </c>
    </row>
    <row r="30">
      <c r="A30" s="6">
        <f t="shared" si="2"/>
        <v>46263</v>
      </c>
      <c r="B30" s="4">
        <f t="shared" si="1"/>
        <v>46263</v>
      </c>
    </row>
    <row r="31">
      <c r="A31" s="6">
        <f t="shared" si="2"/>
        <v>46264</v>
      </c>
      <c r="B31" s="4">
        <f t="shared" si="1"/>
        <v>46264</v>
      </c>
      <c r="C31" s="13" t="s">
        <v>20</v>
      </c>
      <c r="D31" s="9"/>
    </row>
    <row r="32">
      <c r="A32" s="6">
        <f t="shared" si="2"/>
        <v>46265</v>
      </c>
      <c r="B32" s="4">
        <f t="shared" si="1"/>
        <v>46265</v>
      </c>
      <c r="C32" s="8" t="s">
        <v>6</v>
      </c>
    </row>
    <row r="33">
      <c r="A33" s="6">
        <f t="shared" si="2"/>
        <v>46266</v>
      </c>
      <c r="B33" s="4">
        <f t="shared" si="1"/>
        <v>46266</v>
      </c>
    </row>
    <row r="34">
      <c r="A34" s="6">
        <f t="shared" si="2"/>
        <v>46267</v>
      </c>
      <c r="B34" s="4">
        <f t="shared" si="1"/>
        <v>46267</v>
      </c>
    </row>
    <row r="35">
      <c r="A35" s="6">
        <f t="shared" si="2"/>
        <v>46268</v>
      </c>
      <c r="B35" s="4">
        <f t="shared" si="1"/>
        <v>46268</v>
      </c>
      <c r="C35" s="10" t="s">
        <v>8</v>
      </c>
    </row>
    <row r="36">
      <c r="A36" s="6">
        <f t="shared" si="2"/>
        <v>46269</v>
      </c>
      <c r="B36" s="4">
        <f t="shared" si="1"/>
        <v>46269</v>
      </c>
      <c r="C36" s="14" t="s">
        <v>21</v>
      </c>
    </row>
    <row r="37">
      <c r="A37" s="6">
        <f t="shared" si="2"/>
        <v>46270</v>
      </c>
      <c r="B37" s="4">
        <f t="shared" si="1"/>
        <v>46270</v>
      </c>
      <c r="C37" s="15" t="s">
        <v>22</v>
      </c>
    </row>
    <row r="38">
      <c r="A38" s="6">
        <f t="shared" si="2"/>
        <v>46271</v>
      </c>
      <c r="B38" s="4">
        <f t="shared" si="1"/>
        <v>46271</v>
      </c>
      <c r="C38" s="13" t="s">
        <v>23</v>
      </c>
      <c r="D38" s="7"/>
    </row>
    <row r="39">
      <c r="A39" s="6">
        <f t="shared" si="2"/>
        <v>46272</v>
      </c>
      <c r="B39" s="4">
        <f t="shared" si="1"/>
        <v>46272</v>
      </c>
      <c r="C39" s="1" t="s">
        <v>24</v>
      </c>
    </row>
    <row r="40">
      <c r="A40" s="6">
        <f t="shared" si="2"/>
        <v>46273</v>
      </c>
      <c r="B40" s="4">
        <f t="shared" si="1"/>
        <v>46273</v>
      </c>
    </row>
    <row r="41">
      <c r="A41" s="6">
        <f t="shared" si="2"/>
        <v>46274</v>
      </c>
      <c r="B41" s="4">
        <f t="shared" si="1"/>
        <v>46274</v>
      </c>
      <c r="C41" s="9" t="s">
        <v>25</v>
      </c>
    </row>
    <row r="42">
      <c r="A42" s="6">
        <f t="shared" si="2"/>
        <v>46275</v>
      </c>
      <c r="B42" s="4">
        <f t="shared" si="1"/>
        <v>46275</v>
      </c>
      <c r="C42" s="10" t="s">
        <v>8</v>
      </c>
    </row>
    <row r="43">
      <c r="A43" s="6">
        <f t="shared" si="2"/>
        <v>46276</v>
      </c>
      <c r="B43" s="4">
        <f t="shared" si="1"/>
        <v>46276</v>
      </c>
      <c r="C43" s="14" t="s">
        <v>27</v>
      </c>
    </row>
    <row r="44">
      <c r="A44" s="6">
        <f t="shared" si="2"/>
        <v>46277</v>
      </c>
      <c r="B44" s="4">
        <f t="shared" si="1"/>
        <v>46277</v>
      </c>
      <c r="C44" s="15" t="s">
        <v>30</v>
      </c>
    </row>
    <row r="45">
      <c r="A45" s="6">
        <f t="shared" si="2"/>
        <v>46278</v>
      </c>
      <c r="B45" s="4">
        <f t="shared" si="1"/>
        <v>46278</v>
      </c>
    </row>
    <row r="46">
      <c r="A46" s="6">
        <f t="shared" si="2"/>
        <v>46279</v>
      </c>
      <c r="B46" s="4">
        <f t="shared" si="1"/>
        <v>46279</v>
      </c>
      <c r="C46" s="8" t="s">
        <v>6</v>
      </c>
    </row>
    <row r="47">
      <c r="A47" s="6">
        <f t="shared" si="2"/>
        <v>46280</v>
      </c>
      <c r="B47" s="4">
        <f t="shared" si="1"/>
        <v>46280</v>
      </c>
    </row>
    <row r="48">
      <c r="A48" s="6">
        <f t="shared" si="2"/>
        <v>46281</v>
      </c>
      <c r="B48" s="4">
        <f t="shared" si="1"/>
        <v>46281</v>
      </c>
      <c r="C48" s="9" t="s">
        <v>45</v>
      </c>
    </row>
    <row r="49">
      <c r="A49" s="6">
        <f t="shared" si="2"/>
        <v>46282</v>
      </c>
      <c r="B49" s="4">
        <f t="shared" si="1"/>
        <v>46282</v>
      </c>
      <c r="C49" s="10" t="s">
        <v>8</v>
      </c>
    </row>
    <row r="50">
      <c r="A50" s="6">
        <f t="shared" si="2"/>
        <v>46283</v>
      </c>
      <c r="B50" s="4">
        <f t="shared" si="1"/>
        <v>46283</v>
      </c>
      <c r="C50" s="9" t="s">
        <v>61</v>
      </c>
    </row>
    <row r="51">
      <c r="A51" s="6">
        <f t="shared" si="2"/>
        <v>46284</v>
      </c>
      <c r="B51" s="4">
        <f t="shared" si="1"/>
        <v>46284</v>
      </c>
      <c r="C51" s="15" t="s">
        <v>66</v>
      </c>
    </row>
    <row r="52">
      <c r="A52" s="6">
        <f t="shared" si="2"/>
        <v>46285</v>
      </c>
      <c r="B52" s="4">
        <f t="shared" si="1"/>
        <v>46285</v>
      </c>
      <c r="C52" s="13" t="s">
        <v>11</v>
      </c>
    </row>
    <row r="53">
      <c r="A53" s="6">
        <f t="shared" si="2"/>
        <v>46286</v>
      </c>
      <c r="B53" s="4">
        <f t="shared" si="1"/>
        <v>46286</v>
      </c>
      <c r="C53" s="8" t="s">
        <v>6</v>
      </c>
    </row>
    <row r="54">
      <c r="A54" s="6">
        <f t="shared" si="2"/>
        <v>46287</v>
      </c>
      <c r="B54" s="4">
        <f t="shared" si="1"/>
        <v>46287</v>
      </c>
    </row>
    <row r="55">
      <c r="A55" s="6">
        <f t="shared" si="2"/>
        <v>46288</v>
      </c>
      <c r="B55" s="4">
        <f t="shared" si="1"/>
        <v>46288</v>
      </c>
      <c r="C55" s="9" t="s">
        <v>72</v>
      </c>
    </row>
    <row r="56">
      <c r="A56" s="6">
        <f t="shared" si="2"/>
        <v>46289</v>
      </c>
      <c r="B56" s="4">
        <f t="shared" si="1"/>
        <v>46289</v>
      </c>
      <c r="C56" s="10" t="s">
        <v>8</v>
      </c>
    </row>
    <row r="57">
      <c r="A57" s="6">
        <f t="shared" si="2"/>
        <v>46290</v>
      </c>
      <c r="B57" s="4">
        <f t="shared" si="1"/>
        <v>46290</v>
      </c>
      <c r="C57" s="14" t="s">
        <v>77</v>
      </c>
    </row>
    <row r="58">
      <c r="A58" s="6">
        <f t="shared" si="2"/>
        <v>46291</v>
      </c>
      <c r="B58" s="4">
        <f t="shared" si="1"/>
        <v>46291</v>
      </c>
      <c r="C58" s="12" t="s">
        <v>79</v>
      </c>
    </row>
    <row r="59">
      <c r="A59" s="6">
        <f t="shared" si="2"/>
        <v>46292</v>
      </c>
      <c r="B59" s="4">
        <f t="shared" si="1"/>
        <v>46292</v>
      </c>
      <c r="C59" s="18" t="s">
        <v>62</v>
      </c>
    </row>
    <row r="60">
      <c r="A60" s="6">
        <f t="shared" si="2"/>
        <v>46293</v>
      </c>
      <c r="B60" s="4">
        <f t="shared" si="1"/>
        <v>46293</v>
      </c>
      <c r="C60" s="8" t="s">
        <v>6</v>
      </c>
    </row>
    <row r="61">
      <c r="A61" s="6">
        <f t="shared" si="2"/>
        <v>46294</v>
      </c>
      <c r="B61" s="4">
        <f t="shared" si="1"/>
        <v>46294</v>
      </c>
    </row>
    <row r="62">
      <c r="A62" s="6">
        <f t="shared" si="2"/>
        <v>46295</v>
      </c>
      <c r="B62" s="4">
        <f t="shared" si="1"/>
        <v>46295</v>
      </c>
      <c r="C62" s="9" t="s">
        <v>82</v>
      </c>
    </row>
    <row r="63">
      <c r="A63" s="6">
        <f t="shared" si="2"/>
        <v>46296</v>
      </c>
      <c r="B63" s="4">
        <f t="shared" si="1"/>
        <v>46296</v>
      </c>
      <c r="C63" s="10" t="s">
        <v>8</v>
      </c>
    </row>
    <row r="64">
      <c r="A64" s="6">
        <f t="shared" si="2"/>
        <v>46297</v>
      </c>
      <c r="B64" s="4">
        <f t="shared" si="1"/>
        <v>46297</v>
      </c>
      <c r="C64" s="14" t="s">
        <v>83</v>
      </c>
    </row>
    <row r="65">
      <c r="A65" s="6">
        <f t="shared" si="2"/>
        <v>46298</v>
      </c>
      <c r="B65" s="4">
        <f t="shared" si="1"/>
        <v>46298</v>
      </c>
      <c r="C65" s="15" t="s">
        <v>86</v>
      </c>
    </row>
    <row r="66">
      <c r="A66" s="6">
        <f t="shared" si="2"/>
        <v>46299</v>
      </c>
      <c r="B66" s="4">
        <f t="shared" si="1"/>
        <v>46299</v>
      </c>
      <c r="C66" s="7" t="s">
        <v>5</v>
      </c>
    </row>
    <row r="67">
      <c r="A67" s="6">
        <f t="shared" si="2"/>
        <v>46300</v>
      </c>
      <c r="B67" s="4">
        <f t="shared" si="1"/>
        <v>46300</v>
      </c>
      <c r="C67" s="8" t="s">
        <v>6</v>
      </c>
    </row>
    <row r="68">
      <c r="A68" s="6">
        <f t="shared" si="2"/>
        <v>46301</v>
      </c>
      <c r="B68" s="4">
        <f t="shared" si="1"/>
        <v>46301</v>
      </c>
    </row>
    <row r="69">
      <c r="A69" s="6">
        <f t="shared" si="2"/>
        <v>46302</v>
      </c>
      <c r="B69" s="4">
        <f t="shared" si="1"/>
        <v>46302</v>
      </c>
      <c r="C69" s="9" t="s">
        <v>91</v>
      </c>
    </row>
    <row r="70">
      <c r="A70" s="6">
        <f t="shared" si="2"/>
        <v>46303</v>
      </c>
      <c r="B70" s="4">
        <f t="shared" si="1"/>
        <v>46303</v>
      </c>
      <c r="C70" s="14" t="s">
        <v>94</v>
      </c>
    </row>
    <row r="71">
      <c r="A71" s="6">
        <f t="shared" si="2"/>
        <v>46304</v>
      </c>
      <c r="B71" s="4">
        <f t="shared" si="1"/>
        <v>46304</v>
      </c>
    </row>
    <row r="72">
      <c r="A72" s="6">
        <f t="shared" si="2"/>
        <v>46305</v>
      </c>
      <c r="B72" s="4">
        <f t="shared" si="1"/>
        <v>46305</v>
      </c>
    </row>
    <row r="73">
      <c r="A73" s="6">
        <f t="shared" si="2"/>
        <v>46306</v>
      </c>
      <c r="B73" s="4">
        <f t="shared" si="1"/>
        <v>46306</v>
      </c>
      <c r="C73" s="13" t="s">
        <v>11</v>
      </c>
    </row>
    <row r="74">
      <c r="A74" s="6">
        <f t="shared" si="2"/>
        <v>46307</v>
      </c>
      <c r="B74" s="4">
        <f t="shared" si="1"/>
        <v>46307</v>
      </c>
      <c r="C74" s="1" t="s">
        <v>97</v>
      </c>
    </row>
    <row r="75">
      <c r="A75" s="6">
        <f t="shared" si="2"/>
        <v>46308</v>
      </c>
      <c r="B75" s="4">
        <f t="shared" si="1"/>
        <v>46308</v>
      </c>
      <c r="C75" s="1" t="s">
        <v>106</v>
      </c>
    </row>
    <row r="76">
      <c r="A76" s="6">
        <f t="shared" si="2"/>
        <v>46309</v>
      </c>
      <c r="B76" s="4">
        <f t="shared" si="1"/>
        <v>46309</v>
      </c>
      <c r="C76" s="9" t="s">
        <v>107</v>
      </c>
    </row>
    <row r="77">
      <c r="A77" s="6">
        <f t="shared" si="2"/>
        <v>46310</v>
      </c>
      <c r="B77" s="4">
        <f t="shared" si="1"/>
        <v>46310</v>
      </c>
      <c r="C77" s="10" t="s">
        <v>8</v>
      </c>
    </row>
    <row r="78">
      <c r="A78" s="6">
        <f t="shared" si="2"/>
        <v>46311</v>
      </c>
      <c r="B78" s="4">
        <f t="shared" si="1"/>
        <v>46311</v>
      </c>
      <c r="C78" s="14" t="s">
        <v>108</v>
      </c>
    </row>
    <row r="79">
      <c r="A79" s="6">
        <f t="shared" si="2"/>
        <v>46312</v>
      </c>
      <c r="B79" s="4">
        <f t="shared" si="1"/>
        <v>46312</v>
      </c>
      <c r="C79" s="15" t="s">
        <v>109</v>
      </c>
    </row>
    <row r="80">
      <c r="A80" s="6">
        <f t="shared" si="2"/>
        <v>46313</v>
      </c>
      <c r="B80" s="4">
        <f t="shared" si="1"/>
        <v>46313</v>
      </c>
      <c r="C80" s="9" t="s">
        <v>110</v>
      </c>
    </row>
    <row r="81">
      <c r="A81" s="6">
        <f t="shared" si="2"/>
        <v>46314</v>
      </c>
      <c r="B81" s="4">
        <f t="shared" si="1"/>
        <v>46314</v>
      </c>
      <c r="C81" s="8" t="s">
        <v>6</v>
      </c>
    </row>
    <row r="82">
      <c r="A82" s="6">
        <f t="shared" si="2"/>
        <v>46315</v>
      </c>
      <c r="B82" s="4">
        <f t="shared" si="1"/>
        <v>46315</v>
      </c>
    </row>
    <row r="83">
      <c r="A83" s="6">
        <f t="shared" si="2"/>
        <v>46316</v>
      </c>
      <c r="B83" s="4">
        <f t="shared" si="1"/>
        <v>46316</v>
      </c>
      <c r="C83" s="9" t="s">
        <v>111</v>
      </c>
    </row>
    <row r="84">
      <c r="A84" s="6">
        <f t="shared" si="2"/>
        <v>46317</v>
      </c>
      <c r="B84" s="4">
        <f t="shared" si="1"/>
        <v>46317</v>
      </c>
      <c r="C84" s="10" t="s">
        <v>8</v>
      </c>
    </row>
    <row r="85">
      <c r="A85" s="6">
        <f t="shared" si="2"/>
        <v>46318</v>
      </c>
      <c r="B85" s="4">
        <f t="shared" si="1"/>
        <v>46318</v>
      </c>
      <c r="C85" s="14" t="s">
        <v>112</v>
      </c>
    </row>
    <row r="86">
      <c r="A86" s="6">
        <f t="shared" si="2"/>
        <v>46319</v>
      </c>
      <c r="B86" s="4">
        <f t="shared" si="1"/>
        <v>46319</v>
      </c>
      <c r="C86" s="12" t="s">
        <v>113</v>
      </c>
    </row>
    <row r="87">
      <c r="A87" s="6">
        <f t="shared" si="2"/>
        <v>46320</v>
      </c>
      <c r="B87" s="4">
        <f t="shared" si="1"/>
        <v>46320</v>
      </c>
      <c r="C87" s="18" t="s">
        <v>62</v>
      </c>
    </row>
    <row r="88">
      <c r="A88" s="6">
        <f t="shared" si="2"/>
        <v>46321</v>
      </c>
      <c r="B88" s="4">
        <f t="shared" si="1"/>
        <v>46321</v>
      </c>
      <c r="C88" s="8" t="s">
        <v>6</v>
      </c>
    </row>
    <row r="89">
      <c r="A89" s="6">
        <f t="shared" si="2"/>
        <v>46322</v>
      </c>
      <c r="B89" s="4">
        <f t="shared" si="1"/>
        <v>46322</v>
      </c>
    </row>
    <row r="90">
      <c r="A90" s="6">
        <f t="shared" si="2"/>
        <v>46323</v>
      </c>
      <c r="B90" s="4">
        <f t="shared" si="1"/>
        <v>46323</v>
      </c>
      <c r="C90" s="9" t="s">
        <v>114</v>
      </c>
    </row>
    <row r="91">
      <c r="A91" s="6">
        <f t="shared" si="2"/>
        <v>46324</v>
      </c>
      <c r="B91" s="4">
        <f t="shared" si="1"/>
        <v>46324</v>
      </c>
      <c r="C91" s="10" t="s">
        <v>8</v>
      </c>
    </row>
    <row r="92">
      <c r="A92" s="6">
        <f t="shared" si="2"/>
        <v>46325</v>
      </c>
      <c r="B92" s="4">
        <f t="shared" si="1"/>
        <v>46325</v>
      </c>
      <c r="C92" s="14" t="s">
        <v>115</v>
      </c>
    </row>
    <row r="93">
      <c r="A93" s="6">
        <f t="shared" si="2"/>
        <v>46326</v>
      </c>
      <c r="B93" s="4">
        <f t="shared" si="1"/>
        <v>46326</v>
      </c>
      <c r="C93" s="1" t="s">
        <v>116</v>
      </c>
    </row>
    <row r="94">
      <c r="A94" s="6">
        <f t="shared" si="2"/>
        <v>46327</v>
      </c>
      <c r="B94" s="4">
        <f t="shared" si="1"/>
        <v>46327</v>
      </c>
      <c r="C94" s="13" t="s">
        <v>23</v>
      </c>
      <c r="D94" s="7"/>
    </row>
    <row r="95">
      <c r="A95" s="6">
        <f t="shared" si="2"/>
        <v>46328</v>
      </c>
      <c r="B95" s="4">
        <f t="shared" si="1"/>
        <v>46328</v>
      </c>
      <c r="C95" s="8" t="s">
        <v>6</v>
      </c>
    </row>
    <row r="96">
      <c r="A96" s="6">
        <f t="shared" si="2"/>
        <v>46329</v>
      </c>
      <c r="B96" s="4">
        <f t="shared" si="1"/>
        <v>46329</v>
      </c>
    </row>
    <row r="97">
      <c r="A97" s="6">
        <f t="shared" si="2"/>
        <v>46330</v>
      </c>
      <c r="B97" s="4">
        <f t="shared" si="1"/>
        <v>46330</v>
      </c>
      <c r="C97" s="9" t="s">
        <v>117</v>
      </c>
    </row>
    <row r="98">
      <c r="A98" s="6">
        <f t="shared" si="2"/>
        <v>46331</v>
      </c>
      <c r="B98" s="4">
        <f t="shared" si="1"/>
        <v>46331</v>
      </c>
      <c r="C98" s="10" t="s">
        <v>8</v>
      </c>
    </row>
    <row r="99">
      <c r="A99" s="6">
        <f t="shared" si="2"/>
        <v>46332</v>
      </c>
      <c r="B99" s="4">
        <f t="shared" si="1"/>
        <v>46332</v>
      </c>
      <c r="C99" s="14" t="s">
        <v>118</v>
      </c>
    </row>
    <row r="100">
      <c r="A100" s="6">
        <f t="shared" si="2"/>
        <v>46333</v>
      </c>
      <c r="B100" s="4">
        <f t="shared" si="1"/>
        <v>46333</v>
      </c>
    </row>
    <row r="101">
      <c r="A101" s="6">
        <f t="shared" si="2"/>
        <v>46334</v>
      </c>
      <c r="B101" s="4">
        <f t="shared" si="1"/>
        <v>46334</v>
      </c>
    </row>
    <row r="102">
      <c r="A102" s="6">
        <f t="shared" si="2"/>
        <v>46335</v>
      </c>
      <c r="B102" s="4">
        <f t="shared" si="1"/>
        <v>46335</v>
      </c>
      <c r="C102" s="8" t="s">
        <v>6</v>
      </c>
    </row>
    <row r="103">
      <c r="A103" s="6">
        <f t="shared" si="2"/>
        <v>46336</v>
      </c>
      <c r="B103" s="4">
        <f t="shared" si="1"/>
        <v>46336</v>
      </c>
    </row>
    <row r="104">
      <c r="A104" s="6">
        <f t="shared" si="2"/>
        <v>46337</v>
      </c>
      <c r="B104" s="4">
        <f t="shared" si="1"/>
        <v>46337</v>
      </c>
      <c r="C104" s="9" t="s">
        <v>119</v>
      </c>
    </row>
    <row r="105">
      <c r="A105" s="6">
        <f t="shared" si="2"/>
        <v>46338</v>
      </c>
      <c r="B105" s="4">
        <f t="shared" si="1"/>
        <v>46338</v>
      </c>
      <c r="C105" s="10" t="s">
        <v>8</v>
      </c>
    </row>
    <row r="106">
      <c r="A106" s="6">
        <f t="shared" si="2"/>
        <v>46339</v>
      </c>
      <c r="B106" s="4">
        <f t="shared" si="1"/>
        <v>46339</v>
      </c>
      <c r="C106" s="14" t="s">
        <v>120</v>
      </c>
    </row>
    <row r="107">
      <c r="A107" s="6">
        <f t="shared" si="2"/>
        <v>46340</v>
      </c>
      <c r="B107" s="4">
        <f t="shared" si="1"/>
        <v>46340</v>
      </c>
      <c r="C107" s="15" t="s">
        <v>121</v>
      </c>
    </row>
    <row r="108">
      <c r="A108" s="6">
        <f t="shared" si="2"/>
        <v>46341</v>
      </c>
      <c r="B108" s="4">
        <f t="shared" si="1"/>
        <v>46341</v>
      </c>
    </row>
    <row r="109">
      <c r="A109" s="6">
        <f t="shared" si="2"/>
        <v>46342</v>
      </c>
      <c r="B109" s="4">
        <f t="shared" si="1"/>
        <v>46342</v>
      </c>
      <c r="C109" s="8" t="s">
        <v>6</v>
      </c>
    </row>
    <row r="110">
      <c r="A110" s="6">
        <f t="shared" si="2"/>
        <v>46343</v>
      </c>
      <c r="B110" s="4">
        <f t="shared" si="1"/>
        <v>46343</v>
      </c>
    </row>
    <row r="111">
      <c r="A111" s="6">
        <f t="shared" si="2"/>
        <v>46344</v>
      </c>
      <c r="B111" s="4">
        <f t="shared" si="1"/>
        <v>46344</v>
      </c>
      <c r="C111" s="9" t="s">
        <v>122</v>
      </c>
    </row>
    <row r="112">
      <c r="A112" s="6">
        <f t="shared" si="2"/>
        <v>46345</v>
      </c>
      <c r="B112" s="4">
        <f t="shared" si="1"/>
        <v>46345</v>
      </c>
      <c r="C112" s="10" t="s">
        <v>8</v>
      </c>
    </row>
    <row r="113">
      <c r="A113" s="6">
        <f t="shared" si="2"/>
        <v>46346</v>
      </c>
      <c r="B113" s="4">
        <f t="shared" si="1"/>
        <v>46346</v>
      </c>
      <c r="C113" s="14" t="s">
        <v>123</v>
      </c>
    </row>
    <row r="114">
      <c r="A114" s="6">
        <f t="shared" si="2"/>
        <v>46347</v>
      </c>
      <c r="B114" s="4">
        <f t="shared" si="1"/>
        <v>46347</v>
      </c>
      <c r="C114" s="12" t="s">
        <v>124</v>
      </c>
    </row>
    <row r="115">
      <c r="A115" s="6">
        <f t="shared" si="2"/>
        <v>46348</v>
      </c>
      <c r="B115" s="4">
        <f t="shared" si="1"/>
        <v>46348</v>
      </c>
      <c r="C115" s="18" t="s">
        <v>62</v>
      </c>
    </row>
    <row r="116">
      <c r="A116" s="6">
        <f t="shared" si="2"/>
        <v>46349</v>
      </c>
      <c r="B116" s="4">
        <f t="shared" si="1"/>
        <v>46349</v>
      </c>
      <c r="C116" s="1" t="s">
        <v>125</v>
      </c>
    </row>
    <row r="117">
      <c r="A117" s="6">
        <f t="shared" si="2"/>
        <v>46350</v>
      </c>
      <c r="B117" s="4">
        <f t="shared" si="1"/>
        <v>46350</v>
      </c>
      <c r="C117" s="1" t="s">
        <v>126</v>
      </c>
    </row>
    <row r="118">
      <c r="A118" s="6">
        <f t="shared" si="2"/>
        <v>46351</v>
      </c>
      <c r="B118" s="4">
        <f t="shared" si="1"/>
        <v>46351</v>
      </c>
      <c r="C118" s="1" t="s">
        <v>126</v>
      </c>
    </row>
    <row r="119">
      <c r="A119" s="6">
        <f t="shared" si="2"/>
        <v>46352</v>
      </c>
      <c r="B119" s="4">
        <f t="shared" si="1"/>
        <v>46352</v>
      </c>
      <c r="C119" s="1" t="s">
        <v>127</v>
      </c>
    </row>
    <row r="120">
      <c r="A120" s="6">
        <f t="shared" si="2"/>
        <v>46353</v>
      </c>
      <c r="B120" s="4">
        <f t="shared" si="1"/>
        <v>46353</v>
      </c>
      <c r="C120" s="15" t="s">
        <v>128</v>
      </c>
    </row>
    <row r="121">
      <c r="A121" s="6">
        <f t="shared" si="2"/>
        <v>46354</v>
      </c>
      <c r="B121" s="4">
        <f t="shared" si="1"/>
        <v>46354</v>
      </c>
    </row>
    <row r="122">
      <c r="A122" s="6">
        <f t="shared" si="2"/>
        <v>46355</v>
      </c>
      <c r="B122" s="4">
        <f t="shared" si="1"/>
        <v>46355</v>
      </c>
      <c r="C122" s="1" t="s">
        <v>129</v>
      </c>
    </row>
    <row r="123">
      <c r="A123" s="6">
        <f t="shared" si="2"/>
        <v>46356</v>
      </c>
      <c r="B123" s="4">
        <f t="shared" si="1"/>
        <v>46356</v>
      </c>
      <c r="C123" s="8" t="s">
        <v>6</v>
      </c>
    </row>
    <row r="124">
      <c r="A124" s="6">
        <f t="shared" si="2"/>
        <v>46357</v>
      </c>
      <c r="B124" s="4">
        <f t="shared" si="1"/>
        <v>46357</v>
      </c>
    </row>
    <row r="125">
      <c r="A125" s="6">
        <f t="shared" si="2"/>
        <v>46358</v>
      </c>
      <c r="B125" s="4">
        <f t="shared" si="1"/>
        <v>46358</v>
      </c>
      <c r="C125" s="9" t="s">
        <v>130</v>
      </c>
    </row>
    <row r="126">
      <c r="A126" s="6">
        <f t="shared" si="2"/>
        <v>46359</v>
      </c>
      <c r="B126" s="4">
        <f t="shared" si="1"/>
        <v>46359</v>
      </c>
      <c r="C126" s="10" t="s">
        <v>8</v>
      </c>
    </row>
    <row r="127">
      <c r="A127" s="6">
        <f t="shared" si="2"/>
        <v>46360</v>
      </c>
      <c r="B127" s="4">
        <f t="shared" si="1"/>
        <v>46360</v>
      </c>
      <c r="C127" s="14" t="s">
        <v>131</v>
      </c>
    </row>
    <row r="128">
      <c r="A128" s="6">
        <f t="shared" si="2"/>
        <v>46361</v>
      </c>
      <c r="B128" s="4">
        <f t="shared" si="1"/>
        <v>46361</v>
      </c>
      <c r="C128" s="12" t="s">
        <v>132</v>
      </c>
    </row>
    <row r="129">
      <c r="A129" s="6">
        <f t="shared" si="2"/>
        <v>46362</v>
      </c>
      <c r="B129" s="4">
        <f t="shared" si="1"/>
        <v>46362</v>
      </c>
      <c r="C129" s="7" t="s">
        <v>5</v>
      </c>
    </row>
    <row r="130">
      <c r="A130" s="6">
        <f t="shared" si="2"/>
        <v>46363</v>
      </c>
      <c r="B130" s="4">
        <f t="shared" si="1"/>
        <v>46363</v>
      </c>
      <c r="C130" s="15" t="s">
        <v>133</v>
      </c>
    </row>
    <row r="131">
      <c r="A131" s="6">
        <f t="shared" si="2"/>
        <v>46364</v>
      </c>
      <c r="B131" s="4">
        <f t="shared" si="1"/>
        <v>46364</v>
      </c>
      <c r="C131" s="15" t="s">
        <v>134</v>
      </c>
    </row>
    <row r="132">
      <c r="A132" s="6">
        <f t="shared" si="2"/>
        <v>46365</v>
      </c>
      <c r="B132" s="4">
        <f t="shared" si="1"/>
        <v>46365</v>
      </c>
      <c r="C132" s="15" t="s">
        <v>135</v>
      </c>
    </row>
    <row r="133">
      <c r="A133" s="6">
        <f t="shared" si="2"/>
        <v>46366</v>
      </c>
      <c r="B133" s="4">
        <f t="shared" si="1"/>
        <v>46366</v>
      </c>
      <c r="C133" s="15" t="s">
        <v>136</v>
      </c>
    </row>
    <row r="134">
      <c r="A134" s="6">
        <f t="shared" si="2"/>
        <v>46367</v>
      </c>
      <c r="B134" s="4">
        <f t="shared" si="1"/>
        <v>46367</v>
      </c>
      <c r="C134" s="14" t="s">
        <v>137</v>
      </c>
    </row>
    <row r="135">
      <c r="A135" s="6">
        <f t="shared" si="2"/>
        <v>46368</v>
      </c>
      <c r="B135" s="4">
        <f t="shared" si="1"/>
        <v>46368</v>
      </c>
      <c r="C135" s="18" t="s">
        <v>138</v>
      </c>
    </row>
    <row r="136">
      <c r="A136" s="6">
        <f t="shared" si="2"/>
        <v>46369</v>
      </c>
      <c r="B136" s="4">
        <f t="shared" si="1"/>
        <v>46369</v>
      </c>
      <c r="C136" s="9" t="s">
        <v>139</v>
      </c>
    </row>
    <row r="137">
      <c r="A137" s="6">
        <f t="shared" si="2"/>
        <v>46370</v>
      </c>
      <c r="B137" s="4">
        <f t="shared" si="1"/>
        <v>46370</v>
      </c>
      <c r="C137" s="8" t="s">
        <v>6</v>
      </c>
    </row>
    <row r="138">
      <c r="A138" s="6">
        <f t="shared" si="2"/>
        <v>46371</v>
      </c>
      <c r="B138" s="4">
        <f t="shared" si="1"/>
        <v>46371</v>
      </c>
    </row>
    <row r="139">
      <c r="A139" s="6">
        <f t="shared" si="2"/>
        <v>46372</v>
      </c>
      <c r="B139" s="4">
        <f t="shared" si="1"/>
        <v>46372</v>
      </c>
    </row>
    <row r="140">
      <c r="A140" s="6">
        <f t="shared" si="2"/>
        <v>46373</v>
      </c>
      <c r="B140" s="4">
        <f t="shared" si="1"/>
        <v>46373</v>
      </c>
      <c r="C140" s="1" t="s">
        <v>140</v>
      </c>
    </row>
    <row r="141">
      <c r="A141" s="6">
        <f t="shared" si="2"/>
        <v>46374</v>
      </c>
      <c r="B141" s="4">
        <f t="shared" si="1"/>
        <v>46374</v>
      </c>
      <c r="C141" s="13" t="s">
        <v>141</v>
      </c>
    </row>
    <row r="142">
      <c r="A142" s="6">
        <f t="shared" si="2"/>
        <v>46375</v>
      </c>
      <c r="B142" s="4">
        <f t="shared" si="1"/>
        <v>46375</v>
      </c>
      <c r="C142" s="13" t="s">
        <v>141</v>
      </c>
    </row>
    <row r="143">
      <c r="A143" s="6">
        <f t="shared" si="2"/>
        <v>46376</v>
      </c>
      <c r="B143" s="4">
        <f t="shared" si="1"/>
        <v>46376</v>
      </c>
      <c r="C143" s="13" t="s">
        <v>141</v>
      </c>
    </row>
    <row r="144">
      <c r="A144" s="6">
        <f t="shared" si="2"/>
        <v>46377</v>
      </c>
      <c r="B144" s="4">
        <f t="shared" si="1"/>
        <v>46377</v>
      </c>
      <c r="C144" s="13" t="s">
        <v>142</v>
      </c>
    </row>
    <row r="145">
      <c r="A145" s="6">
        <f t="shared" si="2"/>
        <v>46378</v>
      </c>
      <c r="B145" s="4">
        <f t="shared" si="1"/>
        <v>46378</v>
      </c>
      <c r="C145" s="13" t="s">
        <v>141</v>
      </c>
    </row>
    <row r="146">
      <c r="A146" s="6">
        <f t="shared" si="2"/>
        <v>46379</v>
      </c>
      <c r="B146" s="4">
        <f t="shared" si="1"/>
        <v>46379</v>
      </c>
    </row>
    <row r="147">
      <c r="A147" s="6">
        <f t="shared" si="2"/>
        <v>46380</v>
      </c>
      <c r="B147" s="4">
        <f t="shared" si="1"/>
        <v>46380</v>
      </c>
      <c r="C147" s="1" t="s">
        <v>143</v>
      </c>
    </row>
    <row r="148">
      <c r="A148" s="6">
        <f t="shared" si="2"/>
        <v>46381</v>
      </c>
      <c r="B148" s="4">
        <f t="shared" si="1"/>
        <v>46381</v>
      </c>
      <c r="C148" s="1" t="s">
        <v>144</v>
      </c>
    </row>
    <row r="149">
      <c r="A149" s="6">
        <f t="shared" si="2"/>
        <v>46382</v>
      </c>
      <c r="B149" s="4">
        <f t="shared" si="1"/>
        <v>46382</v>
      </c>
    </row>
    <row r="150">
      <c r="A150" s="6">
        <f t="shared" si="2"/>
        <v>46383</v>
      </c>
      <c r="B150" s="4">
        <f t="shared" si="1"/>
        <v>46383</v>
      </c>
    </row>
    <row r="151">
      <c r="A151" s="6">
        <f t="shared" si="2"/>
        <v>46384</v>
      </c>
      <c r="B151" s="4">
        <f t="shared" si="1"/>
        <v>46384</v>
      </c>
      <c r="C151" s="1" t="s">
        <v>145</v>
      </c>
    </row>
    <row r="152">
      <c r="A152" s="6">
        <f t="shared" si="2"/>
        <v>46385</v>
      </c>
      <c r="B152" s="4">
        <f t="shared" si="1"/>
        <v>46385</v>
      </c>
    </row>
    <row r="153">
      <c r="A153" s="6">
        <f t="shared" si="2"/>
        <v>46386</v>
      </c>
      <c r="B153" s="4">
        <f t="shared" si="1"/>
        <v>46386</v>
      </c>
    </row>
    <row r="154">
      <c r="A154" s="6">
        <f t="shared" si="2"/>
        <v>46387</v>
      </c>
      <c r="B154" s="4">
        <f t="shared" si="1"/>
        <v>46387</v>
      </c>
      <c r="C154" s="1" t="s">
        <v>140</v>
      </c>
    </row>
    <row r="155">
      <c r="A155" s="6">
        <f t="shared" si="2"/>
        <v>46388</v>
      </c>
      <c r="B155" s="4">
        <f t="shared" si="1"/>
        <v>46388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5.0"/>
  </cols>
  <sheetData>
    <row r="1">
      <c r="A1" s="1" t="s">
        <v>1</v>
      </c>
      <c r="B1" s="1" t="s">
        <v>2</v>
      </c>
    </row>
    <row r="3">
      <c r="A3" s="1" t="s">
        <v>0</v>
      </c>
    </row>
    <row r="4">
      <c r="A4" s="3">
        <v>46264.0</v>
      </c>
    </row>
    <row r="5">
      <c r="A5" s="5">
        <f t="shared" ref="A5:A17" si="1">A4+7</f>
        <v>46271</v>
      </c>
    </row>
    <row r="6">
      <c r="A6" s="5">
        <f t="shared" si="1"/>
        <v>46278</v>
      </c>
    </row>
    <row r="7">
      <c r="A7" s="5">
        <f t="shared" si="1"/>
        <v>46285</v>
      </c>
    </row>
    <row r="8">
      <c r="A8" s="5">
        <f t="shared" si="1"/>
        <v>46292</v>
      </c>
    </row>
    <row r="9">
      <c r="A9" s="5">
        <f t="shared" si="1"/>
        <v>46299</v>
      </c>
    </row>
    <row r="10">
      <c r="A10" s="5">
        <f t="shared" si="1"/>
        <v>46306</v>
      </c>
    </row>
    <row r="11">
      <c r="A11" s="5">
        <f t="shared" si="1"/>
        <v>46313</v>
      </c>
    </row>
    <row r="12">
      <c r="A12" s="5">
        <f t="shared" si="1"/>
        <v>46320</v>
      </c>
    </row>
    <row r="13">
      <c r="A13" s="5">
        <f t="shared" si="1"/>
        <v>46327</v>
      </c>
    </row>
    <row r="14">
      <c r="A14" s="5">
        <f t="shared" si="1"/>
        <v>46334</v>
      </c>
    </row>
    <row r="15">
      <c r="A15" s="5">
        <f t="shared" si="1"/>
        <v>46341</v>
      </c>
    </row>
    <row r="16">
      <c r="A16" s="5">
        <f t="shared" si="1"/>
        <v>46348</v>
      </c>
    </row>
    <row r="17">
      <c r="A17" s="5">
        <f t="shared" si="1"/>
        <v>46355</v>
      </c>
      <c r="B17" s="1" t="s">
        <v>9</v>
      </c>
    </row>
    <row r="18">
      <c r="A18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2.63"/>
    <col customWidth="1" min="3" max="3" width="19.0"/>
    <col customWidth="1" min="4" max="4" width="14.13"/>
  </cols>
  <sheetData>
    <row r="1">
      <c r="A1" s="1" t="s">
        <v>34</v>
      </c>
      <c r="B1" s="16">
        <v>46119.0</v>
      </c>
      <c r="C1" s="1" t="s">
        <v>39</v>
      </c>
    </row>
    <row r="2">
      <c r="A2" s="1" t="s">
        <v>28</v>
      </c>
      <c r="B2" s="1" t="s">
        <v>37</v>
      </c>
      <c r="C2" s="1" t="s">
        <v>51</v>
      </c>
      <c r="D2" s="1" t="s">
        <v>54</v>
      </c>
    </row>
    <row r="3">
      <c r="C3" s="1" t="s">
        <v>58</v>
      </c>
      <c r="D3" s="1" t="s">
        <v>60</v>
      </c>
    </row>
    <row r="4">
      <c r="C4" s="1"/>
      <c r="D4" s="1"/>
    </row>
    <row r="5">
      <c r="A5" s="1" t="s">
        <v>64</v>
      </c>
      <c r="B5" s="2">
        <v>46239.0</v>
      </c>
      <c r="C5" s="1"/>
      <c r="D5" s="1"/>
    </row>
    <row r="6">
      <c r="A6" s="1" t="s">
        <v>67</v>
      </c>
      <c r="B6" s="2">
        <v>46266.0</v>
      </c>
      <c r="C6" s="1"/>
      <c r="D6" s="1"/>
    </row>
    <row r="7">
      <c r="A7" s="1" t="s">
        <v>68</v>
      </c>
      <c r="B7" s="2">
        <v>46260.0</v>
      </c>
      <c r="C7" s="1"/>
      <c r="D7" s="1"/>
    </row>
    <row r="8">
      <c r="A8" s="1" t="s">
        <v>70</v>
      </c>
      <c r="B8" s="17" t="s">
        <v>71</v>
      </c>
      <c r="C8" s="1"/>
      <c r="D8" s="1"/>
    </row>
    <row r="9">
      <c r="A9" s="1" t="s">
        <v>73</v>
      </c>
      <c r="B9" s="17" t="s">
        <v>74</v>
      </c>
      <c r="C9" s="1"/>
      <c r="D9" s="1"/>
    </row>
    <row r="10">
      <c r="A10" s="1" t="s">
        <v>75</v>
      </c>
      <c r="B10" s="17" t="s">
        <v>76</v>
      </c>
      <c r="C10" s="1"/>
      <c r="D10" s="1"/>
    </row>
    <row r="11">
      <c r="C11" s="1"/>
      <c r="D11" s="1"/>
    </row>
    <row r="12">
      <c r="C12" s="1" t="s">
        <v>28</v>
      </c>
      <c r="D12" s="1" t="s">
        <v>78</v>
      </c>
    </row>
    <row r="13">
      <c r="A13" s="2">
        <v>46274.0</v>
      </c>
      <c r="B13" s="1" t="s">
        <v>80</v>
      </c>
      <c r="C13" s="1" t="s">
        <v>81</v>
      </c>
    </row>
    <row r="14">
      <c r="A14" s="6">
        <f t="shared" ref="A14:A26" si="1">A13+7</f>
        <v>46281</v>
      </c>
      <c r="B14" s="1" t="s">
        <v>84</v>
      </c>
    </row>
    <row r="15">
      <c r="A15" s="6">
        <f t="shared" si="1"/>
        <v>46288</v>
      </c>
      <c r="B15" s="1" t="s">
        <v>85</v>
      </c>
    </row>
    <row r="16">
      <c r="A16" s="6">
        <f t="shared" si="1"/>
        <v>46295</v>
      </c>
      <c r="B16" s="1" t="s">
        <v>87</v>
      </c>
    </row>
    <row r="17">
      <c r="A17" s="6">
        <f t="shared" si="1"/>
        <v>46302</v>
      </c>
      <c r="B17" s="1" t="s">
        <v>88</v>
      </c>
    </row>
    <row r="18">
      <c r="A18" s="6">
        <f t="shared" si="1"/>
        <v>46309</v>
      </c>
      <c r="B18" s="1" t="s">
        <v>89</v>
      </c>
    </row>
    <row r="19">
      <c r="A19" s="6">
        <f t="shared" si="1"/>
        <v>46316</v>
      </c>
      <c r="B19" s="1" t="s">
        <v>90</v>
      </c>
    </row>
    <row r="20">
      <c r="A20" s="6">
        <f t="shared" si="1"/>
        <v>46323</v>
      </c>
      <c r="B20" s="1" t="s">
        <v>92</v>
      </c>
    </row>
    <row r="21">
      <c r="A21" s="6">
        <f t="shared" si="1"/>
        <v>46330</v>
      </c>
      <c r="B21" s="1" t="s">
        <v>93</v>
      </c>
    </row>
    <row r="22">
      <c r="A22" s="6">
        <f t="shared" si="1"/>
        <v>46337</v>
      </c>
      <c r="B22" s="1" t="s">
        <v>95</v>
      </c>
    </row>
    <row r="23">
      <c r="A23" s="6">
        <f t="shared" si="1"/>
        <v>46344</v>
      </c>
      <c r="B23" s="1" t="s">
        <v>96</v>
      </c>
    </row>
    <row r="24">
      <c r="A24" s="6">
        <f t="shared" si="1"/>
        <v>46351</v>
      </c>
      <c r="B24" s="1" t="s">
        <v>99</v>
      </c>
    </row>
    <row r="25">
      <c r="A25" s="6">
        <f t="shared" si="1"/>
        <v>46358</v>
      </c>
      <c r="B25" s="1" t="s">
        <v>103</v>
      </c>
    </row>
    <row r="26">
      <c r="A26" s="6">
        <f t="shared" si="1"/>
        <v>46365</v>
      </c>
      <c r="B26" s="1" t="s">
        <v>105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2">
      <c r="A2" s="1" t="s">
        <v>41</v>
      </c>
      <c r="B2" s="1" t="s">
        <v>44</v>
      </c>
    </row>
    <row r="3">
      <c r="A3" s="1" t="s">
        <v>48</v>
      </c>
      <c r="B3" s="1" t="s">
        <v>50</v>
      </c>
      <c r="C3" s="1" t="s">
        <v>53</v>
      </c>
    </row>
    <row r="4">
      <c r="A4" s="1" t="s">
        <v>56</v>
      </c>
      <c r="B4" s="1" t="s">
        <v>59</v>
      </c>
      <c r="C4" s="1" t="s">
        <v>53</v>
      </c>
    </row>
    <row r="6">
      <c r="A6" s="1" t="s">
        <v>62</v>
      </c>
      <c r="B6" s="1" t="s">
        <v>63</v>
      </c>
      <c r="C6" s="1" t="s">
        <v>65</v>
      </c>
    </row>
    <row r="7">
      <c r="A7" s="2">
        <v>46292.0</v>
      </c>
    </row>
    <row r="8">
      <c r="A8" s="2">
        <v>46320.0</v>
      </c>
    </row>
    <row r="9">
      <c r="A9" s="2">
        <v>46348.0</v>
      </c>
    </row>
    <row r="10">
      <c r="A10" s="2">
        <v>46368.0</v>
      </c>
      <c r="B10" s="1" t="s">
        <v>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7.25"/>
  </cols>
  <sheetData>
    <row r="2">
      <c r="A2" s="1" t="s">
        <v>41</v>
      </c>
    </row>
    <row r="4">
      <c r="A4" s="1" t="s">
        <v>0</v>
      </c>
      <c r="B4" s="1" t="s">
        <v>65</v>
      </c>
    </row>
    <row r="5">
      <c r="A5" s="3">
        <v>46249.0</v>
      </c>
      <c r="B5" s="1" t="s">
        <v>98</v>
      </c>
    </row>
    <row r="6">
      <c r="A6" s="3">
        <v>46291.0</v>
      </c>
      <c r="B6" s="1" t="s">
        <v>100</v>
      </c>
    </row>
    <row r="7">
      <c r="A7" s="3">
        <v>46319.0</v>
      </c>
      <c r="B7" s="1" t="s">
        <v>101</v>
      </c>
    </row>
    <row r="8">
      <c r="A8" s="3">
        <v>46347.0</v>
      </c>
      <c r="B8" s="1" t="s">
        <v>102</v>
      </c>
    </row>
    <row r="9">
      <c r="A9" s="3">
        <v>46362.0</v>
      </c>
      <c r="B9" s="1" t="s">
        <v>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104</v>
      </c>
    </row>
  </sheetData>
  <drawing r:id="rId1"/>
</worksheet>
</file>